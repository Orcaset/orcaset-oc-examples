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ordan/Code/orcaset/orcaset-oc-examples/cre_proforma/"/>
    </mc:Choice>
  </mc:AlternateContent>
  <xr:revisionPtr revIDLastSave="0" documentId="13_ncr:1_{BEC9673C-28E6-A948-BCF5-287C34332F9B}" xr6:coauthVersionLast="47" xr6:coauthVersionMax="47" xr10:uidLastSave="{00000000-0000-0000-0000-000000000000}"/>
  <bookViews>
    <workbookView xWindow="-51200" yWindow="-8560" windowWidth="51200" windowHeight="28200" tabRatio="500" xr2:uid="{00000000-000D-0000-FFFF-FFFF00000000}"/>
  </bookViews>
  <sheets>
    <sheet name="Pro Form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2" i="1" l="1"/>
  <c r="C54" i="1"/>
  <c r="C55" i="1"/>
  <c r="D51" i="1"/>
  <c r="D52" i="1"/>
  <c r="D54" i="1"/>
  <c r="D55" i="1"/>
  <c r="E51" i="1"/>
  <c r="E52" i="1"/>
  <c r="E54" i="1"/>
  <c r="E55" i="1"/>
  <c r="F51" i="1"/>
  <c r="F52" i="1"/>
  <c r="F54" i="1"/>
  <c r="F55" i="1"/>
  <c r="G51" i="1"/>
  <c r="G52" i="1"/>
  <c r="G54" i="1"/>
  <c r="G55" i="1"/>
  <c r="H51" i="1"/>
  <c r="H52" i="1"/>
  <c r="H54" i="1"/>
  <c r="H55" i="1"/>
  <c r="I51" i="1"/>
  <c r="I52" i="1"/>
  <c r="I54" i="1"/>
  <c r="I55" i="1"/>
  <c r="J51" i="1"/>
  <c r="J52" i="1"/>
  <c r="J54" i="1"/>
  <c r="J55" i="1"/>
  <c r="K51" i="1"/>
  <c r="K52" i="1"/>
  <c r="K54" i="1"/>
  <c r="K55" i="1"/>
  <c r="L51" i="1"/>
  <c r="L52" i="1"/>
  <c r="L54" i="1"/>
  <c r="L55" i="1"/>
  <c r="M51" i="1"/>
  <c r="M52" i="1"/>
  <c r="B52" i="1"/>
  <c r="B54" i="1"/>
  <c r="B55" i="1"/>
  <c r="C51" i="1"/>
  <c r="D30" i="1"/>
  <c r="E30" i="1"/>
  <c r="F30" i="1"/>
  <c r="G30" i="1"/>
  <c r="H30" i="1"/>
  <c r="I30" i="1"/>
  <c r="J30" i="1"/>
  <c r="K30" i="1"/>
  <c r="L30" i="1"/>
  <c r="M30" i="1"/>
  <c r="D31" i="1"/>
  <c r="E31" i="1"/>
  <c r="F31" i="1"/>
  <c r="G31" i="1"/>
  <c r="H31" i="1"/>
  <c r="I31" i="1"/>
  <c r="J31" i="1"/>
  <c r="K31" i="1"/>
  <c r="L31" i="1"/>
  <c r="M31" i="1"/>
  <c r="D32" i="1"/>
  <c r="E32" i="1"/>
  <c r="F32" i="1"/>
  <c r="G32" i="1"/>
  <c r="H32" i="1"/>
  <c r="I32" i="1"/>
  <c r="J32" i="1"/>
  <c r="K32" i="1"/>
  <c r="L32" i="1"/>
  <c r="M32" i="1"/>
  <c r="D33" i="1"/>
  <c r="E33" i="1"/>
  <c r="F33" i="1"/>
  <c r="G33" i="1"/>
  <c r="H33" i="1"/>
  <c r="I33" i="1"/>
  <c r="J33" i="1"/>
  <c r="K33" i="1"/>
  <c r="L33" i="1"/>
  <c r="M33" i="1"/>
  <c r="D34" i="1"/>
  <c r="D35" i="1"/>
  <c r="D36" i="1"/>
  <c r="D37" i="1"/>
  <c r="D38" i="1"/>
  <c r="E23" i="1"/>
  <c r="E25" i="1"/>
  <c r="E26" i="1"/>
  <c r="E27" i="1"/>
  <c r="E34" i="1"/>
  <c r="E35" i="1"/>
  <c r="E36" i="1"/>
  <c r="E37" i="1"/>
  <c r="E38" i="1"/>
  <c r="F23" i="1"/>
  <c r="F25" i="1"/>
  <c r="F26" i="1"/>
  <c r="F27" i="1"/>
  <c r="F34" i="1"/>
  <c r="F35" i="1"/>
  <c r="F36" i="1"/>
  <c r="F37" i="1"/>
  <c r="F38" i="1"/>
  <c r="G23" i="1"/>
  <c r="G25" i="1"/>
  <c r="G26" i="1"/>
  <c r="G27" i="1"/>
  <c r="G34" i="1"/>
  <c r="G35" i="1"/>
  <c r="G36" i="1"/>
  <c r="G37" i="1"/>
  <c r="G38" i="1"/>
  <c r="H23" i="1"/>
  <c r="H25" i="1"/>
  <c r="H26" i="1"/>
  <c r="H27" i="1"/>
  <c r="H34" i="1"/>
  <c r="H35" i="1"/>
  <c r="H36" i="1"/>
  <c r="H37" i="1"/>
  <c r="H38" i="1"/>
  <c r="I23" i="1"/>
  <c r="I25" i="1"/>
  <c r="I26" i="1"/>
  <c r="I27" i="1"/>
  <c r="I34" i="1"/>
  <c r="I35" i="1"/>
  <c r="I36" i="1"/>
  <c r="I37" i="1"/>
  <c r="I38" i="1"/>
  <c r="J23" i="1"/>
  <c r="J25" i="1"/>
  <c r="J26" i="1"/>
  <c r="J27" i="1"/>
  <c r="J34" i="1"/>
  <c r="J35" i="1"/>
  <c r="J36" i="1"/>
  <c r="J37" i="1"/>
  <c r="J38" i="1"/>
  <c r="K23" i="1"/>
  <c r="K25" i="1"/>
  <c r="K26" i="1"/>
  <c r="K27" i="1"/>
  <c r="K34" i="1"/>
  <c r="K35" i="1"/>
  <c r="K36" i="1"/>
  <c r="K37" i="1"/>
  <c r="K38" i="1"/>
  <c r="L23" i="1"/>
  <c r="L25" i="1"/>
  <c r="L26" i="1"/>
  <c r="L27" i="1"/>
  <c r="L34" i="1"/>
  <c r="L35" i="1"/>
  <c r="L36" i="1"/>
  <c r="L37" i="1"/>
  <c r="L38" i="1"/>
  <c r="M23" i="1"/>
  <c r="M25" i="1"/>
  <c r="M26" i="1"/>
  <c r="M27" i="1"/>
  <c r="M34" i="1"/>
  <c r="M35" i="1"/>
  <c r="M36" i="1"/>
  <c r="M37" i="1"/>
  <c r="M38" i="1"/>
  <c r="C37" i="1"/>
  <c r="C36" i="1"/>
  <c r="C35" i="1"/>
  <c r="C33" i="1"/>
  <c r="C32" i="1"/>
  <c r="C31" i="1"/>
  <c r="C30" i="1"/>
  <c r="D24" i="1"/>
  <c r="E24" i="1"/>
  <c r="F24" i="1"/>
  <c r="G24" i="1"/>
  <c r="H24" i="1"/>
  <c r="I24" i="1"/>
  <c r="J24" i="1"/>
  <c r="K24" i="1"/>
  <c r="L24" i="1"/>
  <c r="M24" i="1"/>
  <c r="C24" i="1"/>
  <c r="B22" i="1"/>
  <c r="C17" i="1"/>
  <c r="C22" i="1"/>
  <c r="D17" i="1"/>
  <c r="D22" i="1"/>
  <c r="E17" i="1"/>
  <c r="E22" i="1"/>
  <c r="F17" i="1"/>
  <c r="F22" i="1"/>
  <c r="G17" i="1"/>
  <c r="G22" i="1"/>
  <c r="H17" i="1"/>
  <c r="H22" i="1"/>
  <c r="I17" i="1"/>
  <c r="I22" i="1"/>
  <c r="J17" i="1"/>
  <c r="J22" i="1"/>
  <c r="K17" i="1"/>
  <c r="K22" i="1"/>
  <c r="L17" i="1"/>
  <c r="L22" i="1"/>
  <c r="M17" i="1"/>
  <c r="M22" i="1"/>
  <c r="B21" i="1"/>
  <c r="C21" i="1"/>
  <c r="D21" i="1"/>
  <c r="E21" i="1"/>
  <c r="F21" i="1"/>
  <c r="G21" i="1"/>
  <c r="H21" i="1"/>
  <c r="I21" i="1"/>
  <c r="J21" i="1"/>
  <c r="K21" i="1"/>
  <c r="L21" i="1"/>
  <c r="M21" i="1"/>
  <c r="B30" i="1"/>
  <c r="B31" i="1"/>
  <c r="B32" i="1"/>
  <c r="B33" i="1"/>
  <c r="B23" i="1"/>
  <c r="B24" i="1"/>
  <c r="B25" i="1"/>
  <c r="B26" i="1"/>
  <c r="B27" i="1"/>
  <c r="B34" i="1"/>
  <c r="B35" i="1"/>
  <c r="B36" i="1"/>
  <c r="B37" i="1"/>
  <c r="B38" i="1"/>
  <c r="C23" i="1"/>
  <c r="C25" i="1"/>
  <c r="C26" i="1"/>
  <c r="C27" i="1"/>
  <c r="C34" i="1"/>
  <c r="C38" i="1"/>
  <c r="D23" i="1"/>
  <c r="D25" i="1"/>
  <c r="D26" i="1"/>
  <c r="D27" i="1"/>
  <c r="M40" i="1"/>
  <c r="M43" i="1"/>
  <c r="M44" i="1"/>
  <c r="M45" i="1"/>
  <c r="M46" i="1"/>
  <c r="M48" i="1"/>
  <c r="E7" i="1"/>
  <c r="M53" i="1"/>
  <c r="M57" i="1"/>
  <c r="L40" i="1"/>
  <c r="L43" i="1"/>
  <c r="L44" i="1"/>
  <c r="L45" i="1"/>
  <c r="L46" i="1"/>
  <c r="L48" i="1"/>
  <c r="L53" i="1"/>
  <c r="L57" i="1"/>
  <c r="K40" i="1"/>
  <c r="K43" i="1"/>
  <c r="K44" i="1"/>
  <c r="K45" i="1"/>
  <c r="K46" i="1"/>
  <c r="K48" i="1"/>
  <c r="K53" i="1"/>
  <c r="K57" i="1"/>
  <c r="J40" i="1"/>
  <c r="J43" i="1"/>
  <c r="J44" i="1"/>
  <c r="J45" i="1"/>
  <c r="J46" i="1"/>
  <c r="J48" i="1"/>
  <c r="J53" i="1"/>
  <c r="J57" i="1"/>
  <c r="I40" i="1"/>
  <c r="I43" i="1"/>
  <c r="I44" i="1"/>
  <c r="I45" i="1"/>
  <c r="I46" i="1"/>
  <c r="I48" i="1"/>
  <c r="I53" i="1"/>
  <c r="I57" i="1"/>
  <c r="H40" i="1"/>
  <c r="H43" i="1"/>
  <c r="H44" i="1"/>
  <c r="H45" i="1"/>
  <c r="H46" i="1"/>
  <c r="H48" i="1"/>
  <c r="H53" i="1"/>
  <c r="H57" i="1"/>
  <c r="G40" i="1"/>
  <c r="G43" i="1"/>
  <c r="G44" i="1"/>
  <c r="G45" i="1"/>
  <c r="G46" i="1"/>
  <c r="G48" i="1"/>
  <c r="G53" i="1"/>
  <c r="G57" i="1"/>
  <c r="F40" i="1"/>
  <c r="F43" i="1"/>
  <c r="F44" i="1"/>
  <c r="F45" i="1"/>
  <c r="F46" i="1"/>
  <c r="F48" i="1"/>
  <c r="F53" i="1"/>
  <c r="F57" i="1"/>
  <c r="E40" i="1"/>
  <c r="E43" i="1"/>
  <c r="E44" i="1"/>
  <c r="E45" i="1"/>
  <c r="E46" i="1"/>
  <c r="E48" i="1"/>
  <c r="E53" i="1"/>
  <c r="E57" i="1"/>
  <c r="D40" i="1"/>
  <c r="D43" i="1"/>
  <c r="D44" i="1"/>
  <c r="D45" i="1"/>
  <c r="D46" i="1"/>
  <c r="D48" i="1"/>
  <c r="D53" i="1"/>
  <c r="D57" i="1"/>
  <c r="C40" i="1"/>
  <c r="C43" i="1"/>
  <c r="C44" i="1"/>
  <c r="C45" i="1"/>
  <c r="C46" i="1"/>
  <c r="C48" i="1"/>
  <c r="C53" i="1"/>
  <c r="C57" i="1"/>
  <c r="B40" i="1"/>
  <c r="B43" i="1"/>
  <c r="B44" i="1"/>
  <c r="B45" i="1"/>
  <c r="B46" i="1"/>
  <c r="B48" i="1"/>
  <c r="B53" i="1"/>
  <c r="B57" i="1"/>
  <c r="B51" i="1"/>
  <c r="M54" i="1"/>
  <c r="M55" i="1"/>
</calcChain>
</file>

<file path=xl/sharedStrings.xml><?xml version="1.0" encoding="utf-8"?>
<sst xmlns="http://schemas.openxmlformats.org/spreadsheetml/2006/main" count="64" uniqueCount="53">
  <si>
    <t>ASSUMPTIONS</t>
  </si>
  <si>
    <t>DEBT ASSUMPTIONS</t>
  </si>
  <si>
    <t>Building SF</t>
  </si>
  <si>
    <t>Loan Amount</t>
  </si>
  <si>
    <t>Base Rent</t>
  </si>
  <si>
    <t>Parking Spaces</t>
  </si>
  <si>
    <t>Interest Rate (Annual)</t>
  </si>
  <si>
    <t>Parking Income</t>
  </si>
  <si>
    <t>Purchase Price</t>
  </si>
  <si>
    <t>Term (Months)</t>
  </si>
  <si>
    <t>Other Income</t>
  </si>
  <si>
    <t>Vacancy Rate</t>
  </si>
  <si>
    <t>Monthly Payment</t>
  </si>
  <si>
    <t>Property Taxes</t>
  </si>
  <si>
    <t>CAM Recovery %</t>
  </si>
  <si>
    <t>Insurance</t>
  </si>
  <si>
    <t>Annual Growth Rate</t>
  </si>
  <si>
    <t>Utilities</t>
  </si>
  <si>
    <t>Repairs &amp; Maintenance</t>
  </si>
  <si>
    <t>Management Fee %</t>
  </si>
  <si>
    <t>Janitorial</t>
  </si>
  <si>
    <t>Capital Reserve %</t>
  </si>
  <si>
    <t>Landscaping</t>
  </si>
  <si>
    <t>Leasing Commission %</t>
  </si>
  <si>
    <t>Security</t>
  </si>
  <si>
    <t>Tenant Improvements</t>
  </si>
  <si>
    <t>Est. M1 CAM Recovery</t>
  </si>
  <si>
    <t>Period Start</t>
  </si>
  <si>
    <t>Period End</t>
  </si>
  <si>
    <t>REVENUE</t>
  </si>
  <si>
    <t>CAM Recoveries</t>
  </si>
  <si>
    <t>Gross Potential Rent (GPR)</t>
  </si>
  <si>
    <t>Vacancy &amp; Credit Loss</t>
  </si>
  <si>
    <t>Effective Gross Income (EGI)</t>
  </si>
  <si>
    <t>OPERATING EXPENSES</t>
  </si>
  <si>
    <t>Property Management</t>
  </si>
  <si>
    <t>Total Operating Expenses</t>
  </si>
  <si>
    <t>NET OPERATING INCOME (NOI)</t>
  </si>
  <si>
    <t>CAPITAL EXPENDITURES</t>
  </si>
  <si>
    <t>Capital Reserves</t>
  </si>
  <si>
    <t>Leasing Commissions</t>
  </si>
  <si>
    <t>Total CapEx</t>
  </si>
  <si>
    <t>CASH FLOW BEFORE FINANCING</t>
  </si>
  <si>
    <t>DEBT SERVICE</t>
  </si>
  <si>
    <t>Beginning Balance</t>
  </si>
  <si>
    <t>Interest Expense</t>
  </si>
  <si>
    <t>Total Debt Service</t>
  </si>
  <si>
    <t>Principal Payment</t>
  </si>
  <si>
    <t>Ending Balance</t>
  </si>
  <si>
    <t>CASH FLOW AFTER FINANCING</t>
  </si>
  <si>
    <t>Expense Growth Rate</t>
  </si>
  <si>
    <t>ORCASET | PROPERTY PRO FORMA - 25,000 SF CLASS B OFFICE</t>
  </si>
  <si>
    <t>INITIAL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</si>
</sst>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.00"/>
    <numFmt numFmtId="166" formatCode="0.0%"/>
    <numFmt numFmtId="167" formatCode="\$#,##0;&quot;($&quot;#,##0\);\-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6DCE5"/>
      </patternFill>
    </fill>
    <fill>
      <patternFill patternType="solid">
        <fgColor rgb="FF1F4E79"/>
        <bgColor rgb="FF003366"/>
      </patternFill>
    </fill>
    <fill>
      <patternFill patternType="solid">
        <fgColor rgb="FFD6DCE5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3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0" fontId="3" fillId="0" borderId="0" xfId="0" applyNumberFormat="1" applyFont="1"/>
    <xf numFmtId="166" fontId="3" fillId="0" borderId="0" xfId="0" applyNumberFormat="1" applyFont="1"/>
    <xf numFmtId="165" fontId="4" fillId="0" borderId="0" xfId="0" applyNumberFormat="1" applyFont="1"/>
    <xf numFmtId="0" fontId="5" fillId="3" borderId="0" xfId="0" applyFont="1" applyFill="1"/>
    <xf numFmtId="17" fontId="5" fillId="3" borderId="0" xfId="0" applyNumberFormat="1" applyFont="1" applyFill="1" applyAlignment="1">
      <alignment horizontal="center"/>
    </xf>
    <xf numFmtId="0" fontId="2" fillId="4" borderId="0" xfId="0" applyFont="1" applyFill="1"/>
    <xf numFmtId="0" fontId="0" fillId="4" borderId="0" xfId="0" applyFill="1"/>
    <xf numFmtId="167" fontId="4" fillId="0" borderId="0" xfId="0" applyNumberFormat="1" applyFont="1"/>
    <xf numFmtId="0" fontId="2" fillId="0" borderId="0" xfId="0" applyFont="1"/>
    <xf numFmtId="167" fontId="4" fillId="0" borderId="1" xfId="0" applyNumberFormat="1" applyFont="1" applyBorder="1"/>
    <xf numFmtId="167" fontId="2" fillId="0" borderId="2" xfId="0" applyNumberFormat="1" applyFont="1" applyBorder="1"/>
    <xf numFmtId="167" fontId="2" fillId="4" borderId="0" xfId="0" applyNumberFormat="1" applyFont="1" applyFill="1"/>
    <xf numFmtId="167" fontId="2" fillId="0" borderId="0" xfId="0" applyNumberFormat="1" applyFont="1"/>
    <xf numFmtId="167" fontId="4" fillId="0" borderId="2" xfId="0" applyNumberFormat="1" applyFont="1" applyBorder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99DD85B-D7A0-A241-B94C-28A9E8A8458E}">
  <we:reference id="29673e3c-d826-4f00-92ee-162334a52b1a" version="1.0.0.5" store="EXCatalog" storeType="EXCatalog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"/>
  <sheetViews>
    <sheetView showGridLines="0" tabSelected="1" zoomScaleNormal="100" workbookViewId="0">
      <selection sqref="A1:N1"/>
    </sheetView>
  </sheetViews>
  <sheetFormatPr baseColWidth="10" defaultColWidth="8.6640625" defaultRowHeight="15" customHeight="1" x14ac:dyDescent="0.2"/>
  <cols>
    <col min="1" max="1" width="28" customWidth="1"/>
    <col min="2" max="14" width="14" customWidth="1"/>
    <col min="18" max="18" width="29.83203125" customWidth="1"/>
    <col min="19" max="30" width="9.6640625" bestFit="1" customWidth="1"/>
  </cols>
  <sheetData>
    <row r="1" spans="1:14" ht="18" x14ac:dyDescent="0.2">
      <c r="A1" s="20" t="s">
        <v>51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3" spans="1:14" x14ac:dyDescent="0.2">
      <c r="A3" s="1" t="s">
        <v>0</v>
      </c>
      <c r="D3" s="1" t="s">
        <v>1</v>
      </c>
      <c r="G3" s="1" t="s">
        <v>52</v>
      </c>
    </row>
    <row r="4" spans="1:14" x14ac:dyDescent="0.2">
      <c r="A4" t="s">
        <v>2</v>
      </c>
      <c r="B4" s="2">
        <v>25000</v>
      </c>
      <c r="D4" t="s">
        <v>3</v>
      </c>
      <c r="E4" s="3">
        <v>3150000</v>
      </c>
      <c r="G4" t="s">
        <v>4</v>
      </c>
      <c r="H4" s="4">
        <v>45833.33</v>
      </c>
    </row>
    <row r="5" spans="1:14" x14ac:dyDescent="0.2">
      <c r="A5" t="s">
        <v>5</v>
      </c>
      <c r="B5" s="2">
        <v>50</v>
      </c>
      <c r="D5" t="s">
        <v>6</v>
      </c>
      <c r="E5" s="5">
        <v>5.5E-2</v>
      </c>
      <c r="G5" t="s">
        <v>7</v>
      </c>
      <c r="H5" s="4">
        <v>3750</v>
      </c>
    </row>
    <row r="6" spans="1:14" x14ac:dyDescent="0.2">
      <c r="A6" t="s">
        <v>8</v>
      </c>
      <c r="B6" s="3">
        <v>4500000</v>
      </c>
      <c r="D6" t="s">
        <v>9</v>
      </c>
      <c r="E6" s="2">
        <v>300</v>
      </c>
      <c r="G6" t="s">
        <v>10</v>
      </c>
      <c r="H6" s="4">
        <v>1500</v>
      </c>
    </row>
    <row r="7" spans="1:14" x14ac:dyDescent="0.2">
      <c r="A7" t="s">
        <v>11</v>
      </c>
      <c r="B7" s="6">
        <v>7.0000000000000007E-2</v>
      </c>
      <c r="D7" t="s">
        <v>12</v>
      </c>
      <c r="E7" s="7">
        <f>PMT(E5/12,E6,-E4)</f>
        <v>19343.756006866315</v>
      </c>
      <c r="G7" t="s">
        <v>13</v>
      </c>
      <c r="H7" s="4">
        <v>6000</v>
      </c>
    </row>
    <row r="8" spans="1:14" x14ac:dyDescent="0.2">
      <c r="A8" t="s">
        <v>14</v>
      </c>
      <c r="B8" s="6">
        <v>0.85</v>
      </c>
      <c r="G8" t="s">
        <v>15</v>
      </c>
      <c r="H8" s="4">
        <v>1250</v>
      </c>
    </row>
    <row r="9" spans="1:14" x14ac:dyDescent="0.2">
      <c r="A9" t="s">
        <v>16</v>
      </c>
      <c r="B9" s="6">
        <v>0.03</v>
      </c>
      <c r="G9" t="s">
        <v>17</v>
      </c>
      <c r="H9" s="4">
        <v>6250</v>
      </c>
    </row>
    <row r="10" spans="1:14" x14ac:dyDescent="0.2">
      <c r="A10" t="s">
        <v>50</v>
      </c>
      <c r="B10" s="6">
        <v>2.5000000000000001E-2</v>
      </c>
      <c r="G10" t="s">
        <v>18</v>
      </c>
      <c r="H10" s="4">
        <v>4167</v>
      </c>
    </row>
    <row r="11" spans="1:14" x14ac:dyDescent="0.2">
      <c r="A11" t="s">
        <v>19</v>
      </c>
      <c r="B11" s="6">
        <v>0.04</v>
      </c>
      <c r="G11" t="s">
        <v>20</v>
      </c>
      <c r="H11" s="4">
        <v>5208</v>
      </c>
    </row>
    <row r="12" spans="1:14" x14ac:dyDescent="0.2">
      <c r="A12" t="s">
        <v>21</v>
      </c>
      <c r="B12" s="6">
        <v>0.03</v>
      </c>
      <c r="G12" t="s">
        <v>22</v>
      </c>
      <c r="H12" s="4">
        <v>1250</v>
      </c>
    </row>
    <row r="13" spans="1:14" x14ac:dyDescent="0.2">
      <c r="A13" t="s">
        <v>23</v>
      </c>
      <c r="B13" s="6">
        <v>0.02</v>
      </c>
      <c r="G13" t="s">
        <v>24</v>
      </c>
      <c r="H13" s="4">
        <v>2083</v>
      </c>
    </row>
    <row r="14" spans="1:14" x14ac:dyDescent="0.2">
      <c r="G14" t="s">
        <v>25</v>
      </c>
      <c r="H14" s="4">
        <v>3125</v>
      </c>
    </row>
    <row r="15" spans="1:14" x14ac:dyDescent="0.2">
      <c r="G15" t="s">
        <v>26</v>
      </c>
      <c r="H15" s="4">
        <v>1700</v>
      </c>
    </row>
    <row r="17" spans="1:31" x14ac:dyDescent="0.2">
      <c r="A17" s="8" t="s">
        <v>27</v>
      </c>
      <c r="B17" s="9">
        <v>44927</v>
      </c>
      <c r="C17" s="9">
        <f>B18</f>
        <v>44958</v>
      </c>
      <c r="D17" s="9">
        <f t="shared" ref="D17:M17" si="0">C18</f>
        <v>44986</v>
      </c>
      <c r="E17" s="9">
        <f t="shared" si="0"/>
        <v>45017</v>
      </c>
      <c r="F17" s="9">
        <f t="shared" si="0"/>
        <v>45047</v>
      </c>
      <c r="G17" s="9">
        <f t="shared" si="0"/>
        <v>45078</v>
      </c>
      <c r="H17" s="9">
        <f t="shared" si="0"/>
        <v>45108</v>
      </c>
      <c r="I17" s="9">
        <f t="shared" si="0"/>
        <v>45139</v>
      </c>
      <c r="J17" s="9">
        <f t="shared" si="0"/>
        <v>45170</v>
      </c>
      <c r="K17" s="9">
        <f t="shared" si="0"/>
        <v>45200</v>
      </c>
      <c r="L17" s="9">
        <f t="shared" si="0"/>
        <v>45231</v>
      </c>
      <c r="M17" s="9">
        <f t="shared" si="0"/>
        <v>45261</v>
      </c>
    </row>
    <row r="18" spans="1:31" x14ac:dyDescent="0.2">
      <c r="A18" s="8" t="s">
        <v>28</v>
      </c>
      <c r="B18" s="9">
        <v>44958</v>
      </c>
      <c r="C18" s="9">
        <v>44986</v>
      </c>
      <c r="D18" s="9">
        <v>45017</v>
      </c>
      <c r="E18" s="9">
        <v>45047</v>
      </c>
      <c r="F18" s="9">
        <v>45078</v>
      </c>
      <c r="G18" s="9">
        <v>45108</v>
      </c>
      <c r="H18" s="9">
        <v>45139</v>
      </c>
      <c r="I18" s="9">
        <v>45170</v>
      </c>
      <c r="J18" s="9">
        <v>45200</v>
      </c>
      <c r="K18" s="9">
        <v>45231</v>
      </c>
      <c r="L18" s="9">
        <v>45261</v>
      </c>
      <c r="M18" s="9">
        <v>45292</v>
      </c>
    </row>
    <row r="19" spans="1:31" ht="15" customHeight="1" x14ac:dyDescent="0.2"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</row>
    <row r="20" spans="1:31" x14ac:dyDescent="0.2">
      <c r="A20" s="10" t="s">
        <v>29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31" x14ac:dyDescent="0.2">
      <c r="A21" t="s">
        <v>4</v>
      </c>
      <c r="B21" s="12">
        <f>$H$4</f>
        <v>45833.33</v>
      </c>
      <c r="C21" s="12">
        <f>B21*(1+$B$9*YEARFRAC(C$17,C$18,2))</f>
        <v>45940.274436666667</v>
      </c>
      <c r="D21" s="12">
        <f t="shared" ref="D21:M21" si="1">C21*(1+$B$9*YEARFRAC(D$17,D$18,2))</f>
        <v>46058.95347896139</v>
      </c>
      <c r="E21" s="12">
        <f t="shared" si="1"/>
        <v>46174.100862658794</v>
      </c>
      <c r="F21" s="12">
        <f t="shared" si="1"/>
        <v>46293.383956553997</v>
      </c>
      <c r="G21" s="12">
        <f t="shared" si="1"/>
        <v>46409.117416445377</v>
      </c>
      <c r="H21" s="12">
        <f t="shared" si="1"/>
        <v>46529.007636437862</v>
      </c>
      <c r="I21" s="12">
        <f t="shared" si="1"/>
        <v>46649.207572831998</v>
      </c>
      <c r="J21" s="12">
        <f t="shared" si="1"/>
        <v>46765.830591764076</v>
      </c>
      <c r="K21" s="12">
        <f t="shared" si="1"/>
        <v>46886.642320792802</v>
      </c>
      <c r="L21" s="12">
        <f t="shared" si="1"/>
        <v>47003.858926594781</v>
      </c>
      <c r="M21" s="12">
        <f t="shared" si="1"/>
        <v>47125.28556215515</v>
      </c>
    </row>
    <row r="22" spans="1:31" x14ac:dyDescent="0.2">
      <c r="A22" t="s">
        <v>7</v>
      </c>
      <c r="B22" s="12">
        <f>$H$5</f>
        <v>3750</v>
      </c>
      <c r="C22" s="12">
        <f>B22*(1+$B$9*YEARFRAC(C$17,C$18,2))</f>
        <v>3758.75</v>
      </c>
      <c r="D22" s="12">
        <f t="shared" ref="D22:M22" si="2">C22*(1+$B$9*YEARFRAC(D$17,D$18,2))</f>
        <v>3768.460104166667</v>
      </c>
      <c r="E22" s="12">
        <f t="shared" si="2"/>
        <v>3777.8812544270836</v>
      </c>
      <c r="F22" s="12">
        <f t="shared" si="2"/>
        <v>3787.6407810010205</v>
      </c>
      <c r="G22" s="12">
        <f t="shared" si="2"/>
        <v>3797.1098829535231</v>
      </c>
      <c r="H22" s="12">
        <f t="shared" si="2"/>
        <v>3806.9190834844867</v>
      </c>
      <c r="I22" s="12">
        <f t="shared" si="2"/>
        <v>3816.7536244501553</v>
      </c>
      <c r="J22" s="12">
        <f t="shared" si="2"/>
        <v>3826.2955085112803</v>
      </c>
      <c r="K22" s="12">
        <f t="shared" si="2"/>
        <v>3836.1801052416013</v>
      </c>
      <c r="L22" s="12">
        <f t="shared" si="2"/>
        <v>3845.770555504705</v>
      </c>
      <c r="M22" s="12">
        <f t="shared" si="2"/>
        <v>3855.7054627730922</v>
      </c>
    </row>
    <row r="23" spans="1:31" x14ac:dyDescent="0.2">
      <c r="A23" t="s">
        <v>30</v>
      </c>
      <c r="B23" s="12">
        <f>$H$15</f>
        <v>1700</v>
      </c>
      <c r="C23" s="12">
        <f>B38*$B$8</f>
        <v>23945.808894599999</v>
      </c>
      <c r="D23" s="12">
        <f t="shared" ref="D23:M23" si="3">C38*$B$8</f>
        <v>24696.306299934651</v>
      </c>
      <c r="E23" s="12">
        <f t="shared" si="3"/>
        <v>24772.269755822163</v>
      </c>
      <c r="F23" s="12">
        <f t="shared" si="3"/>
        <v>24825.330082403158</v>
      </c>
      <c r="G23" s="12">
        <f t="shared" si="3"/>
        <v>24879.465627503094</v>
      </c>
      <c r="H23" s="12">
        <f t="shared" si="3"/>
        <v>24932.054023245109</v>
      </c>
      <c r="I23" s="12">
        <f t="shared" si="3"/>
        <v>24986.400667956797</v>
      </c>
      <c r="J23" s="12">
        <f t="shared" si="3"/>
        <v>25040.918144181178</v>
      </c>
      <c r="K23" s="12">
        <f t="shared" si="3"/>
        <v>25093.849590432808</v>
      </c>
      <c r="L23" s="12">
        <f t="shared" si="3"/>
        <v>25148.549814721613</v>
      </c>
      <c r="M23" s="12">
        <f t="shared" si="3"/>
        <v>25201.707680440482</v>
      </c>
    </row>
    <row r="24" spans="1:31" x14ac:dyDescent="0.2">
      <c r="A24" t="s">
        <v>10</v>
      </c>
      <c r="B24" s="12">
        <f>$H$6</f>
        <v>1500</v>
      </c>
      <c r="C24" s="12">
        <f>B24*(1+$B$9*YEARFRAC(C$17,C$18,2))</f>
        <v>1503.5</v>
      </c>
      <c r="D24" s="12">
        <f t="shared" ref="D24:M24" si="4">C24*(1+$B$9*YEARFRAC(D$17,D$18,2))</f>
        <v>1507.3840416666667</v>
      </c>
      <c r="E24" s="12">
        <f t="shared" si="4"/>
        <v>1511.1525017708332</v>
      </c>
      <c r="F24" s="12">
        <f t="shared" si="4"/>
        <v>1515.0563124004079</v>
      </c>
      <c r="G24" s="12">
        <f t="shared" si="4"/>
        <v>1518.8439531814088</v>
      </c>
      <c r="H24" s="12">
        <f t="shared" si="4"/>
        <v>1522.7676333937941</v>
      </c>
      <c r="I24" s="12">
        <f t="shared" si="4"/>
        <v>1526.7014497800615</v>
      </c>
      <c r="J24" s="12">
        <f t="shared" si="4"/>
        <v>1530.5182034045115</v>
      </c>
      <c r="K24" s="12">
        <f t="shared" si="4"/>
        <v>1534.4720420966398</v>
      </c>
      <c r="L24" s="12">
        <f t="shared" si="4"/>
        <v>1538.3082222018813</v>
      </c>
      <c r="M24" s="12">
        <f t="shared" si="4"/>
        <v>1542.2821851092363</v>
      </c>
    </row>
    <row r="25" spans="1:31" x14ac:dyDescent="0.2">
      <c r="A25" s="13" t="s">
        <v>31</v>
      </c>
      <c r="B25" s="14">
        <f t="shared" ref="B25:M25" si="5">SUM(B21:B24)</f>
        <v>52783.33</v>
      </c>
      <c r="C25" s="14">
        <f t="shared" si="5"/>
        <v>75148.333331266665</v>
      </c>
      <c r="D25" s="14">
        <f t="shared" si="5"/>
        <v>76031.103924729367</v>
      </c>
      <c r="E25" s="14">
        <f t="shared" si="5"/>
        <v>76235.404374678867</v>
      </c>
      <c r="F25" s="14">
        <f t="shared" si="5"/>
        <v>76421.411132358582</v>
      </c>
      <c r="G25" s="14">
        <f t="shared" si="5"/>
        <v>76604.536880083411</v>
      </c>
      <c r="H25" s="14">
        <f t="shared" si="5"/>
        <v>76790.748376561256</v>
      </c>
      <c r="I25" s="14">
        <f t="shared" si="5"/>
        <v>76979.063315019011</v>
      </c>
      <c r="J25" s="14">
        <f t="shared" si="5"/>
        <v>77163.562447861041</v>
      </c>
      <c r="K25" s="14">
        <f t="shared" si="5"/>
        <v>77351.144058563834</v>
      </c>
      <c r="L25" s="14">
        <f t="shared" si="5"/>
        <v>77536.48751902298</v>
      </c>
      <c r="M25" s="14">
        <f t="shared" si="5"/>
        <v>77724.980890477949</v>
      </c>
    </row>
    <row r="26" spans="1:31" x14ac:dyDescent="0.2">
      <c r="A26" t="s">
        <v>32</v>
      </c>
      <c r="B26" s="12">
        <f t="shared" ref="B26:M26" si="6">B25*-$B$7</f>
        <v>-3694.8331000000003</v>
      </c>
      <c r="C26" s="12">
        <f t="shared" si="6"/>
        <v>-5260.3833331886672</v>
      </c>
      <c r="D26" s="12">
        <f t="shared" si="6"/>
        <v>-5322.1772747310561</v>
      </c>
      <c r="E26" s="12">
        <f t="shared" si="6"/>
        <v>-5336.478306227521</v>
      </c>
      <c r="F26" s="12">
        <f t="shared" si="6"/>
        <v>-5349.4987792651009</v>
      </c>
      <c r="G26" s="12">
        <f t="shared" si="6"/>
        <v>-5362.3175816058392</v>
      </c>
      <c r="H26" s="12">
        <f t="shared" si="6"/>
        <v>-5375.3523863592882</v>
      </c>
      <c r="I26" s="12">
        <f t="shared" si="6"/>
        <v>-5388.5344320513314</v>
      </c>
      <c r="J26" s="12">
        <f t="shared" si="6"/>
        <v>-5401.4493713502734</v>
      </c>
      <c r="K26" s="12">
        <f t="shared" si="6"/>
        <v>-5414.5800840994689</v>
      </c>
      <c r="L26" s="12">
        <f t="shared" si="6"/>
        <v>-5427.554126331609</v>
      </c>
      <c r="M26" s="12">
        <f t="shared" si="6"/>
        <v>-5440.7486623334571</v>
      </c>
    </row>
    <row r="27" spans="1:31" x14ac:dyDescent="0.2">
      <c r="A27" s="13" t="s">
        <v>33</v>
      </c>
      <c r="B27" s="15">
        <f t="shared" ref="B27:M27" si="7">B25+B26</f>
        <v>49088.496899999998</v>
      </c>
      <c r="C27" s="15">
        <f t="shared" si="7"/>
        <v>69887.949998077995</v>
      </c>
      <c r="D27" s="15">
        <f t="shared" si="7"/>
        <v>70708.926649998306</v>
      </c>
      <c r="E27" s="15">
        <f t="shared" si="7"/>
        <v>70898.926068451343</v>
      </c>
      <c r="F27" s="15">
        <f t="shared" si="7"/>
        <v>71071.912353093474</v>
      </c>
      <c r="G27" s="15">
        <f t="shared" si="7"/>
        <v>71242.219298477576</v>
      </c>
      <c r="H27" s="15">
        <f t="shared" si="7"/>
        <v>71415.395990201971</v>
      </c>
      <c r="I27" s="15">
        <f t="shared" si="7"/>
        <v>71590.528882967687</v>
      </c>
      <c r="J27" s="15">
        <f t="shared" si="7"/>
        <v>71762.113076510766</v>
      </c>
      <c r="K27" s="15">
        <f t="shared" si="7"/>
        <v>71936.56397446437</v>
      </c>
      <c r="L27" s="15">
        <f t="shared" si="7"/>
        <v>72108.933392691368</v>
      </c>
      <c r="M27" s="15">
        <f t="shared" si="7"/>
        <v>72284.232228144494</v>
      </c>
    </row>
    <row r="29" spans="1:31" x14ac:dyDescent="0.2">
      <c r="A29" s="10" t="s">
        <v>34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31" x14ac:dyDescent="0.2">
      <c r="A30" t="s">
        <v>13</v>
      </c>
      <c r="B30" s="12">
        <f>$H$7</f>
        <v>6000</v>
      </c>
      <c r="C30" s="12">
        <f>B30*(1+$B$10*YEARFRAC(C$17,C$18,2))</f>
        <v>6011.666666666667</v>
      </c>
      <c r="D30" s="12">
        <f t="shared" ref="D30:M30" si="8">C30*(1+$B$10*YEARFRAC(D$17,D$18,2))</f>
        <v>6024.6084490740741</v>
      </c>
      <c r="E30" s="12">
        <f t="shared" si="8"/>
        <v>6037.1597166763122</v>
      </c>
      <c r="F30" s="12">
        <f t="shared" si="8"/>
        <v>6050.1563799552678</v>
      </c>
      <c r="G30" s="12">
        <f t="shared" si="8"/>
        <v>6062.7608724135089</v>
      </c>
      <c r="H30" s="12">
        <f t="shared" si="8"/>
        <v>6075.8126492916208</v>
      </c>
      <c r="I30" s="12">
        <f t="shared" si="8"/>
        <v>6088.8925237449566</v>
      </c>
      <c r="J30" s="12">
        <f t="shared" si="8"/>
        <v>6101.5777165027594</v>
      </c>
      <c r="K30" s="12">
        <f t="shared" si="8"/>
        <v>6114.7130574202301</v>
      </c>
      <c r="L30" s="12">
        <f t="shared" si="8"/>
        <v>6127.4520429565227</v>
      </c>
      <c r="M30" s="12">
        <f t="shared" si="8"/>
        <v>6140.643085548998</v>
      </c>
    </row>
    <row r="31" spans="1:31" x14ac:dyDescent="0.2">
      <c r="A31" t="s">
        <v>15</v>
      </c>
      <c r="B31" s="12">
        <f>$H$8</f>
        <v>1250</v>
      </c>
      <c r="C31" s="12">
        <f>B31*(1+$B$10*YEARFRAC(C$17,C$18,2))</f>
        <v>1252.4305555555557</v>
      </c>
      <c r="D31" s="12">
        <f t="shared" ref="D31:M31" si="9">C31*(1+$B$10*YEARFRAC(D$17,D$18,2))</f>
        <v>1255.1267602237654</v>
      </c>
      <c r="E31" s="12">
        <f t="shared" si="9"/>
        <v>1257.7416076408983</v>
      </c>
      <c r="F31" s="12">
        <f t="shared" si="9"/>
        <v>1260.449245824014</v>
      </c>
      <c r="G31" s="12">
        <f t="shared" si="9"/>
        <v>1263.0751817528142</v>
      </c>
      <c r="H31" s="12">
        <f t="shared" si="9"/>
        <v>1265.7943019357542</v>
      </c>
      <c r="I31" s="12">
        <f t="shared" si="9"/>
        <v>1268.5192757801992</v>
      </c>
      <c r="J31" s="12">
        <f t="shared" si="9"/>
        <v>1271.1620242714082</v>
      </c>
      <c r="K31" s="12">
        <f t="shared" si="9"/>
        <v>1273.8985536292146</v>
      </c>
      <c r="L31" s="12">
        <f t="shared" si="9"/>
        <v>1276.5525089492755</v>
      </c>
      <c r="M31" s="12">
        <f t="shared" si="9"/>
        <v>1279.3006428227079</v>
      </c>
    </row>
    <row r="32" spans="1:31" x14ac:dyDescent="0.2">
      <c r="A32" t="s">
        <v>17</v>
      </c>
      <c r="B32" s="12">
        <f>$H$9</f>
        <v>6250</v>
      </c>
      <c r="C32" s="12">
        <f>B32*(1+$B$10*YEARFRAC(C$17,C$18,2))</f>
        <v>6262.1527777777783</v>
      </c>
      <c r="D32" s="12">
        <f t="shared" ref="D32:M32" si="10">C32*(1+$B$10*YEARFRAC(D$17,D$18,2))</f>
        <v>6275.6338011188273</v>
      </c>
      <c r="E32" s="12">
        <f t="shared" si="10"/>
        <v>6288.7080382044924</v>
      </c>
      <c r="F32" s="12">
        <f t="shared" si="10"/>
        <v>6302.2462291200709</v>
      </c>
      <c r="G32" s="12">
        <f t="shared" si="10"/>
        <v>6315.3759087640719</v>
      </c>
      <c r="H32" s="12">
        <f t="shared" si="10"/>
        <v>6328.9715096787713</v>
      </c>
      <c r="I32" s="12">
        <f t="shared" si="10"/>
        <v>6342.5963789009957</v>
      </c>
      <c r="J32" s="12">
        <f t="shared" si="10"/>
        <v>6355.8101213570399</v>
      </c>
      <c r="K32" s="12">
        <f t="shared" si="10"/>
        <v>6369.4927681460713</v>
      </c>
      <c r="L32" s="12">
        <f t="shared" si="10"/>
        <v>6382.7625447463761</v>
      </c>
      <c r="M32" s="12">
        <f t="shared" si="10"/>
        <v>6396.503214113538</v>
      </c>
    </row>
    <row r="33" spans="1:13" x14ac:dyDescent="0.2">
      <c r="A33" t="s">
        <v>18</v>
      </c>
      <c r="B33" s="12">
        <f>$H$10</f>
        <v>4167</v>
      </c>
      <c r="C33" s="12">
        <f>B33*(1+$B$10*YEARFRAC(C$17,C$18,2))</f>
        <v>4175.1025</v>
      </c>
      <c r="D33" s="12">
        <f t="shared" ref="D33:M33" si="11">C33*(1+$B$10*YEARFRAC(D$17,D$18,2))</f>
        <v>4184.0905678819436</v>
      </c>
      <c r="E33" s="12">
        <f t="shared" si="11"/>
        <v>4192.8074232316976</v>
      </c>
      <c r="F33" s="12">
        <f t="shared" si="11"/>
        <v>4201.8336058789318</v>
      </c>
      <c r="G33" s="12">
        <f t="shared" si="11"/>
        <v>4210.5874258911799</v>
      </c>
      <c r="H33" s="12">
        <f t="shared" si="11"/>
        <v>4219.6518849330287</v>
      </c>
      <c r="I33" s="12">
        <f t="shared" si="11"/>
        <v>4228.7358577408704</v>
      </c>
      <c r="J33" s="12">
        <f t="shared" si="11"/>
        <v>4237.5457241111644</v>
      </c>
      <c r="K33" s="12">
        <f t="shared" si="11"/>
        <v>4246.6682183783478</v>
      </c>
      <c r="L33" s="12">
        <f t="shared" si="11"/>
        <v>4255.5154438333029</v>
      </c>
      <c r="M33" s="12">
        <f t="shared" si="11"/>
        <v>4264.6766229137766</v>
      </c>
    </row>
    <row r="34" spans="1:13" x14ac:dyDescent="0.2">
      <c r="A34" t="s">
        <v>35</v>
      </c>
      <c r="B34" s="12">
        <f>B27*$B$11</f>
        <v>1963.539876</v>
      </c>
      <c r="C34" s="12">
        <f>C27*$B$11</f>
        <v>2795.51799992312</v>
      </c>
      <c r="D34" s="12">
        <f t="shared" ref="D34:M34" si="12">D27*$B$11</f>
        <v>2828.3570659999323</v>
      </c>
      <c r="E34" s="12">
        <f t="shared" si="12"/>
        <v>2835.9570427380536</v>
      </c>
      <c r="F34" s="12">
        <f t="shared" si="12"/>
        <v>2842.8764941237391</v>
      </c>
      <c r="G34" s="12">
        <f t="shared" si="12"/>
        <v>2849.6887719391029</v>
      </c>
      <c r="H34" s="12">
        <f t="shared" si="12"/>
        <v>2856.6158396080787</v>
      </c>
      <c r="I34" s="12">
        <f t="shared" si="12"/>
        <v>2863.6211553187077</v>
      </c>
      <c r="J34" s="12">
        <f t="shared" si="12"/>
        <v>2870.4845230604305</v>
      </c>
      <c r="K34" s="12">
        <f t="shared" si="12"/>
        <v>2877.4625589785751</v>
      </c>
      <c r="L34" s="12">
        <f t="shared" si="12"/>
        <v>2884.3573357076548</v>
      </c>
      <c r="M34" s="12">
        <f t="shared" si="12"/>
        <v>2891.3692891257797</v>
      </c>
    </row>
    <row r="35" spans="1:13" x14ac:dyDescent="0.2">
      <c r="A35" t="s">
        <v>20</v>
      </c>
      <c r="B35" s="12">
        <f>$H$11</f>
        <v>5208</v>
      </c>
      <c r="C35" s="12">
        <f>B35*(1+$B$10*YEARFRAC(C$17,C$18,2))</f>
        <v>5218.126666666667</v>
      </c>
      <c r="D35" s="12">
        <f t="shared" ref="D35:M35" si="13">C35*(1+$B$10*YEARFRAC(D$17,D$18,2))</f>
        <v>5229.3601337962964</v>
      </c>
      <c r="E35" s="12">
        <f t="shared" si="13"/>
        <v>5240.2546340750396</v>
      </c>
      <c r="F35" s="12">
        <f t="shared" si="13"/>
        <v>5251.5357378011731</v>
      </c>
      <c r="G35" s="12">
        <f t="shared" si="13"/>
        <v>5262.4764372549262</v>
      </c>
      <c r="H35" s="12">
        <f t="shared" si="13"/>
        <v>5273.8053795851274</v>
      </c>
      <c r="I35" s="12">
        <f t="shared" si="13"/>
        <v>5285.1587106106226</v>
      </c>
      <c r="J35" s="12">
        <f t="shared" si="13"/>
        <v>5296.1694579243949</v>
      </c>
      <c r="K35" s="12">
        <f t="shared" si="13"/>
        <v>5307.5709338407596</v>
      </c>
      <c r="L35" s="12">
        <f t="shared" si="13"/>
        <v>5318.6283732862621</v>
      </c>
      <c r="M35" s="12">
        <f t="shared" si="13"/>
        <v>5330.0781982565304</v>
      </c>
    </row>
    <row r="36" spans="1:13" x14ac:dyDescent="0.2">
      <c r="A36" t="s">
        <v>22</v>
      </c>
      <c r="B36" s="12">
        <f>$H$12</f>
        <v>1250</v>
      </c>
      <c r="C36" s="12">
        <f>B36*(1+$B$10*YEARFRAC(C$17,C$18,2))</f>
        <v>1252.4305555555557</v>
      </c>
      <c r="D36" s="12">
        <f t="shared" ref="D36:M36" si="14">C36*(1+$B$10*YEARFRAC(D$17,D$18,2))</f>
        <v>1255.1267602237654</v>
      </c>
      <c r="E36" s="12">
        <f t="shared" si="14"/>
        <v>1257.7416076408983</v>
      </c>
      <c r="F36" s="12">
        <f t="shared" si="14"/>
        <v>1260.449245824014</v>
      </c>
      <c r="G36" s="12">
        <f t="shared" si="14"/>
        <v>1263.0751817528142</v>
      </c>
      <c r="H36" s="12">
        <f t="shared" si="14"/>
        <v>1265.7943019357542</v>
      </c>
      <c r="I36" s="12">
        <f t="shared" si="14"/>
        <v>1268.5192757801992</v>
      </c>
      <c r="J36" s="12">
        <f t="shared" si="14"/>
        <v>1271.1620242714082</v>
      </c>
      <c r="K36" s="12">
        <f t="shared" si="14"/>
        <v>1273.8985536292146</v>
      </c>
      <c r="L36" s="12">
        <f t="shared" si="14"/>
        <v>1276.5525089492755</v>
      </c>
      <c r="M36" s="12">
        <f t="shared" si="14"/>
        <v>1279.3006428227079</v>
      </c>
    </row>
    <row r="37" spans="1:13" x14ac:dyDescent="0.2">
      <c r="A37" t="s">
        <v>24</v>
      </c>
      <c r="B37" s="12">
        <f>$H$13</f>
        <v>2083</v>
      </c>
      <c r="C37" s="12">
        <f>B37*(1+$B$10*YEARFRAC(C$17,C$18,2))</f>
        <v>2087.0502777777779</v>
      </c>
      <c r="D37" s="12">
        <f t="shared" ref="D37:M37" si="15">C37*(1+$B$10*YEARFRAC(D$17,D$18,2))</f>
        <v>2091.5432332368828</v>
      </c>
      <c r="E37" s="12">
        <f t="shared" si="15"/>
        <v>2095.9006149727929</v>
      </c>
      <c r="F37" s="12">
        <f t="shared" si="15"/>
        <v>2100.4126232411368</v>
      </c>
      <c r="G37" s="12">
        <f t="shared" si="15"/>
        <v>2104.7884828728893</v>
      </c>
      <c r="H37" s="12">
        <f t="shared" si="15"/>
        <v>2109.3196247457404</v>
      </c>
      <c r="I37" s="12">
        <f t="shared" si="15"/>
        <v>2113.8605211601234</v>
      </c>
      <c r="J37" s="12">
        <f t="shared" si="15"/>
        <v>2118.2643972458741</v>
      </c>
      <c r="K37" s="12">
        <f t="shared" si="15"/>
        <v>2122.8245497677226</v>
      </c>
      <c r="L37" s="12">
        <f t="shared" si="15"/>
        <v>2127.2471009130722</v>
      </c>
      <c r="M37" s="12">
        <f t="shared" si="15"/>
        <v>2131.8265911997601</v>
      </c>
    </row>
    <row r="38" spans="1:13" x14ac:dyDescent="0.2">
      <c r="A38" s="13" t="s">
        <v>36</v>
      </c>
      <c r="B38" s="15">
        <f t="shared" ref="B38:C38" si="16">SUM(B30:B37)</f>
        <v>28171.539875999999</v>
      </c>
      <c r="C38" s="15">
        <f t="shared" si="16"/>
        <v>29054.477999923118</v>
      </c>
      <c r="D38" s="15">
        <f t="shared" ref="D38" si="17">SUM(D30:D37)</f>
        <v>29143.846771555487</v>
      </c>
      <c r="E38" s="15">
        <f t="shared" ref="E38" si="18">SUM(E30:E37)</f>
        <v>29206.270685180185</v>
      </c>
      <c r="F38" s="15">
        <f t="shared" ref="F38" si="19">SUM(F30:F37)</f>
        <v>29269.959561768344</v>
      </c>
      <c r="G38" s="15">
        <f t="shared" ref="G38" si="20">SUM(G30:G37)</f>
        <v>29331.828262641306</v>
      </c>
      <c r="H38" s="15">
        <f t="shared" ref="H38" si="21">SUM(H30:H37)</f>
        <v>29395.765491713879</v>
      </c>
      <c r="I38" s="15">
        <f t="shared" ref="I38" si="22">SUM(I30:I37)</f>
        <v>29459.90369903668</v>
      </c>
      <c r="J38" s="15">
        <f t="shared" ref="J38" si="23">SUM(J30:J37)</f>
        <v>29522.175988744482</v>
      </c>
      <c r="K38" s="15">
        <f t="shared" ref="K38" si="24">SUM(K30:K37)</f>
        <v>29586.529193790135</v>
      </c>
      <c r="L38" s="15">
        <f t="shared" ref="L38" si="25">SUM(L30:L37)</f>
        <v>29649.067859341743</v>
      </c>
      <c r="M38" s="15">
        <f t="shared" ref="M38" si="26">SUM(M30:M37)</f>
        <v>29713.698286803796</v>
      </c>
    </row>
    <row r="40" spans="1:13" x14ac:dyDescent="0.2">
      <c r="A40" s="10" t="s">
        <v>37</v>
      </c>
      <c r="B40" s="16">
        <f t="shared" ref="B40:M40" si="27">B27-B38</f>
        <v>20916.957023999999</v>
      </c>
      <c r="C40" s="16">
        <f t="shared" si="27"/>
        <v>40833.471998154877</v>
      </c>
      <c r="D40" s="16">
        <f t="shared" si="27"/>
        <v>41565.079878442819</v>
      </c>
      <c r="E40" s="16">
        <f t="shared" si="27"/>
        <v>41692.655383271158</v>
      </c>
      <c r="F40" s="16">
        <f t="shared" si="27"/>
        <v>41801.95279132513</v>
      </c>
      <c r="G40" s="16">
        <f t="shared" si="27"/>
        <v>41910.39103583627</v>
      </c>
      <c r="H40" s="16">
        <f t="shared" si="27"/>
        <v>42019.630498488092</v>
      </c>
      <c r="I40" s="16">
        <f t="shared" si="27"/>
        <v>42130.625183931006</v>
      </c>
      <c r="J40" s="16">
        <f t="shared" si="27"/>
        <v>42239.937087766288</v>
      </c>
      <c r="K40" s="16">
        <f t="shared" si="27"/>
        <v>42350.034780674236</v>
      </c>
      <c r="L40" s="16">
        <f t="shared" si="27"/>
        <v>42459.865533349628</v>
      </c>
      <c r="M40" s="16">
        <f t="shared" si="27"/>
        <v>42570.533941340698</v>
      </c>
    </row>
    <row r="42" spans="1:13" x14ac:dyDescent="0.2">
      <c r="A42" s="10" t="s">
        <v>38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x14ac:dyDescent="0.2">
      <c r="A43" t="s">
        <v>39</v>
      </c>
      <c r="B43" s="12">
        <f t="shared" ref="B43:M43" si="28">B27*$B$12</f>
        <v>1472.6549069999999</v>
      </c>
      <c r="C43" s="12">
        <f t="shared" si="28"/>
        <v>2096.6384999423399</v>
      </c>
      <c r="D43" s="12">
        <f t="shared" si="28"/>
        <v>2121.267799499949</v>
      </c>
      <c r="E43" s="12">
        <f t="shared" si="28"/>
        <v>2126.9677820535403</v>
      </c>
      <c r="F43" s="12">
        <f t="shared" si="28"/>
        <v>2132.157370592804</v>
      </c>
      <c r="G43" s="12">
        <f t="shared" si="28"/>
        <v>2137.2665789543271</v>
      </c>
      <c r="H43" s="12">
        <f t="shared" si="28"/>
        <v>2142.4618797060589</v>
      </c>
      <c r="I43" s="12">
        <f t="shared" si="28"/>
        <v>2147.7158664890303</v>
      </c>
      <c r="J43" s="12">
        <f t="shared" si="28"/>
        <v>2152.8633922953231</v>
      </c>
      <c r="K43" s="12">
        <f t="shared" si="28"/>
        <v>2158.0969192339312</v>
      </c>
      <c r="L43" s="12">
        <f t="shared" si="28"/>
        <v>2163.2680017807411</v>
      </c>
      <c r="M43" s="12">
        <f t="shared" si="28"/>
        <v>2168.5269668443348</v>
      </c>
    </row>
    <row r="44" spans="1:13" x14ac:dyDescent="0.2">
      <c r="A44" t="s">
        <v>25</v>
      </c>
      <c r="B44" s="12">
        <f t="shared" ref="B44:M44" si="29">$H$14</f>
        <v>3125</v>
      </c>
      <c r="C44" s="12">
        <f t="shared" si="29"/>
        <v>3125</v>
      </c>
      <c r="D44" s="12">
        <f t="shared" si="29"/>
        <v>3125</v>
      </c>
      <c r="E44" s="12">
        <f t="shared" si="29"/>
        <v>3125</v>
      </c>
      <c r="F44" s="12">
        <f t="shared" si="29"/>
        <v>3125</v>
      </c>
      <c r="G44" s="12">
        <f t="shared" si="29"/>
        <v>3125</v>
      </c>
      <c r="H44" s="12">
        <f t="shared" si="29"/>
        <v>3125</v>
      </c>
      <c r="I44" s="12">
        <f t="shared" si="29"/>
        <v>3125</v>
      </c>
      <c r="J44" s="12">
        <f t="shared" si="29"/>
        <v>3125</v>
      </c>
      <c r="K44" s="12">
        <f t="shared" si="29"/>
        <v>3125</v>
      </c>
      <c r="L44" s="12">
        <f t="shared" si="29"/>
        <v>3125</v>
      </c>
      <c r="M44" s="12">
        <f t="shared" si="29"/>
        <v>3125</v>
      </c>
    </row>
    <row r="45" spans="1:13" x14ac:dyDescent="0.2">
      <c r="A45" t="s">
        <v>40</v>
      </c>
      <c r="B45" s="12">
        <f t="shared" ref="B45:M45" si="30">B27*$B$13</f>
        <v>981.76993800000002</v>
      </c>
      <c r="C45" s="12">
        <f t="shared" si="30"/>
        <v>1397.75899996156</v>
      </c>
      <c r="D45" s="12">
        <f t="shared" si="30"/>
        <v>1414.1785329999661</v>
      </c>
      <c r="E45" s="12">
        <f t="shared" si="30"/>
        <v>1417.9785213690268</v>
      </c>
      <c r="F45" s="12">
        <f t="shared" si="30"/>
        <v>1421.4382470618696</v>
      </c>
      <c r="G45" s="12">
        <f t="shared" si="30"/>
        <v>1424.8443859695515</v>
      </c>
      <c r="H45" s="12">
        <f t="shared" si="30"/>
        <v>1428.3079198040393</v>
      </c>
      <c r="I45" s="12">
        <f t="shared" si="30"/>
        <v>1431.8105776593538</v>
      </c>
      <c r="J45" s="12">
        <f t="shared" si="30"/>
        <v>1435.2422615302153</v>
      </c>
      <c r="K45" s="12">
        <f t="shared" si="30"/>
        <v>1438.7312794892875</v>
      </c>
      <c r="L45" s="12">
        <f t="shared" si="30"/>
        <v>1442.1786678538274</v>
      </c>
      <c r="M45" s="12">
        <f t="shared" si="30"/>
        <v>1445.6846445628898</v>
      </c>
    </row>
    <row r="46" spans="1:13" x14ac:dyDescent="0.2">
      <c r="A46" s="13" t="s">
        <v>41</v>
      </c>
      <c r="B46" s="15">
        <f t="shared" ref="B46:M46" si="31">SUM(B43:B45)</f>
        <v>5579.4248450000005</v>
      </c>
      <c r="C46" s="15">
        <f t="shared" si="31"/>
        <v>6619.3974999039001</v>
      </c>
      <c r="D46" s="15">
        <f t="shared" si="31"/>
        <v>6660.4463324999142</v>
      </c>
      <c r="E46" s="15">
        <f t="shared" si="31"/>
        <v>6669.9463034225664</v>
      </c>
      <c r="F46" s="15">
        <f t="shared" si="31"/>
        <v>6678.5956176546733</v>
      </c>
      <c r="G46" s="15">
        <f t="shared" si="31"/>
        <v>6687.1109649238788</v>
      </c>
      <c r="H46" s="15">
        <f t="shared" si="31"/>
        <v>6695.7697995100989</v>
      </c>
      <c r="I46" s="15">
        <f t="shared" si="31"/>
        <v>6704.5264441483841</v>
      </c>
      <c r="J46" s="15">
        <f t="shared" si="31"/>
        <v>6713.105653825538</v>
      </c>
      <c r="K46" s="15">
        <f t="shared" si="31"/>
        <v>6721.8281987232185</v>
      </c>
      <c r="L46" s="15">
        <f t="shared" si="31"/>
        <v>6730.4466696345689</v>
      </c>
      <c r="M46" s="15">
        <f t="shared" si="31"/>
        <v>6739.2116114072242</v>
      </c>
    </row>
    <row r="48" spans="1:13" x14ac:dyDescent="0.2">
      <c r="A48" s="10" t="s">
        <v>42</v>
      </c>
      <c r="B48" s="16">
        <f t="shared" ref="B48:M48" si="32">B40-B46</f>
        <v>15337.532178999998</v>
      </c>
      <c r="C48" s="16">
        <f t="shared" si="32"/>
        <v>34214.074498250979</v>
      </c>
      <c r="D48" s="16">
        <f t="shared" si="32"/>
        <v>34904.633545942903</v>
      </c>
      <c r="E48" s="16">
        <f t="shared" si="32"/>
        <v>35022.709079848588</v>
      </c>
      <c r="F48" s="16">
        <f t="shared" si="32"/>
        <v>35123.357173670454</v>
      </c>
      <c r="G48" s="16">
        <f t="shared" si="32"/>
        <v>35223.280070912391</v>
      </c>
      <c r="H48" s="16">
        <f t="shared" si="32"/>
        <v>35323.860698977995</v>
      </c>
      <c r="I48" s="16">
        <f t="shared" si="32"/>
        <v>35426.098739782625</v>
      </c>
      <c r="J48" s="16">
        <f t="shared" si="32"/>
        <v>35526.831433940752</v>
      </c>
      <c r="K48" s="16">
        <f t="shared" si="32"/>
        <v>35628.206581951017</v>
      </c>
      <c r="L48" s="16">
        <f t="shared" si="32"/>
        <v>35729.418863715058</v>
      </c>
      <c r="M48" s="16">
        <f t="shared" si="32"/>
        <v>35831.322329933471</v>
      </c>
    </row>
    <row r="50" spans="1:13" x14ac:dyDescent="0.2">
      <c r="A50" s="10" t="s">
        <v>43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x14ac:dyDescent="0.2">
      <c r="A51" t="s">
        <v>44</v>
      </c>
      <c r="B51" s="12">
        <f>$E$4</f>
        <v>3150000</v>
      </c>
      <c r="C51" s="12">
        <f>B55</f>
        <v>3145574.9939931338</v>
      </c>
      <c r="D51" s="12">
        <f t="shared" ref="D51:M51" si="33">C55</f>
        <v>3139687.3087939047</v>
      </c>
      <c r="E51" s="12">
        <f t="shared" si="33"/>
        <v>3135213.4607356316</v>
      </c>
      <c r="F51" s="12">
        <f t="shared" si="33"/>
        <v>3130239.4330904703</v>
      </c>
      <c r="G51" s="12">
        <f t="shared" si="33"/>
        <v>3125720.8388431021</v>
      </c>
      <c r="H51" s="12">
        <f t="shared" si="33"/>
        <v>3120703.3033476002</v>
      </c>
      <c r="I51" s="12">
        <f t="shared" si="33"/>
        <v>3116139.5449301996</v>
      </c>
      <c r="J51" s="12">
        <f t="shared" si="33"/>
        <v>3111554.1720458497</v>
      </c>
      <c r="K51" s="12">
        <f t="shared" si="33"/>
        <v>3106471.7059941934</v>
      </c>
      <c r="L51" s="12">
        <f t="shared" si="33"/>
        <v>3101840.5451504383</v>
      </c>
      <c r="M51" s="12">
        <f t="shared" si="33"/>
        <v>3096713.5583088449</v>
      </c>
    </row>
    <row r="52" spans="1:13" x14ac:dyDescent="0.2">
      <c r="A52" t="s">
        <v>45</v>
      </c>
      <c r="B52" s="12">
        <f>B51*$E$5*YEARFRAC(B$17,B$18,2)</f>
        <v>14918.75</v>
      </c>
      <c r="C52" s="12">
        <f t="shared" ref="C52:M52" si="34">C51*$E$5*YEARFRAC(C$17,C$18,2)</f>
        <v>13456.070807637296</v>
      </c>
      <c r="D52" s="12">
        <f t="shared" si="34"/>
        <v>14869.907948593356</v>
      </c>
      <c r="E52" s="12">
        <f t="shared" si="34"/>
        <v>14369.728361704978</v>
      </c>
      <c r="F52" s="12">
        <f t="shared" si="34"/>
        <v>14825.161759497922</v>
      </c>
      <c r="G52" s="12">
        <f t="shared" si="34"/>
        <v>14326.220511364216</v>
      </c>
      <c r="H52" s="12">
        <f t="shared" si="34"/>
        <v>14779.997589465716</v>
      </c>
      <c r="I52" s="12">
        <f t="shared" si="34"/>
        <v>14758.38312251664</v>
      </c>
      <c r="J52" s="12">
        <f t="shared" si="34"/>
        <v>14261.289955210144</v>
      </c>
      <c r="K52" s="12">
        <f t="shared" si="34"/>
        <v>14712.595163111389</v>
      </c>
      <c r="L52" s="12">
        <f t="shared" si="34"/>
        <v>14216.769165272841</v>
      </c>
      <c r="M52" s="12">
        <f t="shared" si="34"/>
        <v>14666.379491434946</v>
      </c>
    </row>
    <row r="53" spans="1:13" x14ac:dyDescent="0.2">
      <c r="A53" s="13" t="s">
        <v>46</v>
      </c>
      <c r="B53" s="17">
        <f t="shared" ref="B53:M53" si="35">$E$7</f>
        <v>19343.756006866315</v>
      </c>
      <c r="C53" s="17">
        <f t="shared" si="35"/>
        <v>19343.756006866315</v>
      </c>
      <c r="D53" s="17">
        <f t="shared" si="35"/>
        <v>19343.756006866315</v>
      </c>
      <c r="E53" s="17">
        <f t="shared" si="35"/>
        <v>19343.756006866315</v>
      </c>
      <c r="F53" s="17">
        <f t="shared" si="35"/>
        <v>19343.756006866315</v>
      </c>
      <c r="G53" s="17">
        <f t="shared" si="35"/>
        <v>19343.756006866315</v>
      </c>
      <c r="H53" s="17">
        <f t="shared" si="35"/>
        <v>19343.756006866315</v>
      </c>
      <c r="I53" s="17">
        <f t="shared" si="35"/>
        <v>19343.756006866315</v>
      </c>
      <c r="J53" s="17">
        <f t="shared" si="35"/>
        <v>19343.756006866315</v>
      </c>
      <c r="K53" s="17">
        <f t="shared" si="35"/>
        <v>19343.756006866315</v>
      </c>
      <c r="L53" s="17">
        <f t="shared" si="35"/>
        <v>19343.756006866315</v>
      </c>
      <c r="M53" s="17">
        <f t="shared" si="35"/>
        <v>19343.756006866315</v>
      </c>
    </row>
    <row r="54" spans="1:13" x14ac:dyDescent="0.2">
      <c r="A54" t="s">
        <v>47</v>
      </c>
      <c r="B54" s="12">
        <f t="shared" ref="B54:M54" si="36">B53-B52</f>
        <v>4425.0060068663151</v>
      </c>
      <c r="C54" s="12">
        <f t="shared" si="36"/>
        <v>5887.6851992290194</v>
      </c>
      <c r="D54" s="12">
        <f t="shared" si="36"/>
        <v>4473.848058272959</v>
      </c>
      <c r="E54" s="12">
        <f t="shared" si="36"/>
        <v>4974.0276451613372</v>
      </c>
      <c r="F54" s="12">
        <f t="shared" si="36"/>
        <v>4518.5942473683936</v>
      </c>
      <c r="G54" s="12">
        <f t="shared" si="36"/>
        <v>5017.5354955020994</v>
      </c>
      <c r="H54" s="12">
        <f t="shared" si="36"/>
        <v>4563.7584174005988</v>
      </c>
      <c r="I54" s="12">
        <f t="shared" si="36"/>
        <v>4585.3728843496756</v>
      </c>
      <c r="J54" s="12">
        <f t="shared" si="36"/>
        <v>5082.4660516561707</v>
      </c>
      <c r="K54" s="12">
        <f t="shared" si="36"/>
        <v>4631.1608437549257</v>
      </c>
      <c r="L54" s="12">
        <f t="shared" si="36"/>
        <v>5126.9868415934743</v>
      </c>
      <c r="M54" s="12">
        <f t="shared" si="36"/>
        <v>4677.3765154313696</v>
      </c>
    </row>
    <row r="55" spans="1:13" x14ac:dyDescent="0.2">
      <c r="A55" t="s">
        <v>48</v>
      </c>
      <c r="B55" s="18">
        <f t="shared" ref="B55:M55" si="37">B51-B54</f>
        <v>3145574.9939931338</v>
      </c>
      <c r="C55" s="18">
        <f t="shared" si="37"/>
        <v>3139687.3087939047</v>
      </c>
      <c r="D55" s="18">
        <f t="shared" si="37"/>
        <v>3135213.4607356316</v>
      </c>
      <c r="E55" s="18">
        <f t="shared" si="37"/>
        <v>3130239.4330904703</v>
      </c>
      <c r="F55" s="18">
        <f t="shared" si="37"/>
        <v>3125720.8388431021</v>
      </c>
      <c r="G55" s="18">
        <f t="shared" si="37"/>
        <v>3120703.3033476002</v>
      </c>
      <c r="H55" s="18">
        <f t="shared" si="37"/>
        <v>3116139.5449301996</v>
      </c>
      <c r="I55" s="18">
        <f t="shared" si="37"/>
        <v>3111554.1720458497</v>
      </c>
      <c r="J55" s="18">
        <f t="shared" si="37"/>
        <v>3106471.7059941934</v>
      </c>
      <c r="K55" s="18">
        <f t="shared" si="37"/>
        <v>3101840.5451504383</v>
      </c>
      <c r="L55" s="18">
        <f t="shared" si="37"/>
        <v>3096713.5583088449</v>
      </c>
      <c r="M55" s="18">
        <f t="shared" si="37"/>
        <v>3092036.1817934136</v>
      </c>
    </row>
    <row r="57" spans="1:13" x14ac:dyDescent="0.2">
      <c r="A57" s="10" t="s">
        <v>49</v>
      </c>
      <c r="B57" s="16">
        <f t="shared" ref="B57:M57" si="38">B48-B53</f>
        <v>-4006.2238278663172</v>
      </c>
      <c r="C57" s="16">
        <f t="shared" si="38"/>
        <v>14870.318491384664</v>
      </c>
      <c r="D57" s="16">
        <f t="shared" si="38"/>
        <v>15560.877539076588</v>
      </c>
      <c r="E57" s="16">
        <f t="shared" si="38"/>
        <v>15678.953072982273</v>
      </c>
      <c r="F57" s="16">
        <f t="shared" si="38"/>
        <v>15779.601166804139</v>
      </c>
      <c r="G57" s="16">
        <f t="shared" si="38"/>
        <v>15879.524064046076</v>
      </c>
      <c r="H57" s="16">
        <f t="shared" si="38"/>
        <v>15980.104692111679</v>
      </c>
      <c r="I57" s="16">
        <f t="shared" si="38"/>
        <v>16082.34273291631</v>
      </c>
      <c r="J57" s="16">
        <f t="shared" si="38"/>
        <v>16183.075427074436</v>
      </c>
      <c r="K57" s="16">
        <f t="shared" si="38"/>
        <v>16284.450575084702</v>
      </c>
      <c r="L57" s="16">
        <f t="shared" si="38"/>
        <v>16385.662856848743</v>
      </c>
      <c r="M57" s="16">
        <f t="shared" si="38"/>
        <v>16487.566323067156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 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Jordan Hitchcock</cp:lastModifiedBy>
  <cp:revision>0</cp:revision>
  <dcterms:created xsi:type="dcterms:W3CDTF">2026-02-03T15:34:12Z</dcterms:created>
  <dcterms:modified xsi:type="dcterms:W3CDTF">2026-02-03T20:43:53Z</dcterms:modified>
  <dc:language>en-US</dc:language>
</cp:coreProperties>
</file>